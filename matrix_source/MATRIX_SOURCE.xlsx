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ooney_bako\bako_mooney_v2_datapipe_fixed_server\datapipe_server_fixed\matrix_source\"/>
    </mc:Choice>
  </mc:AlternateContent>
  <xr:revisionPtr revIDLastSave="0" documentId="13_ncr:1_{EBF99B16-4C31-45CB-B499-970486C300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</calcChain>
</file>

<file path=xl/sharedStrings.xml><?xml version="1.0" encoding="utf-8"?>
<sst xmlns="http://schemas.openxmlformats.org/spreadsheetml/2006/main" count="106" uniqueCount="50">
  <si>
    <t>design_id</t>
  </si>
  <si>
    <t>block_type</t>
  </si>
  <si>
    <t>block_order</t>
  </si>
  <si>
    <t>target_object</t>
  </si>
  <si>
    <t>target_label_ka</t>
  </si>
  <si>
    <t>accepted_labels_ka_optional</t>
  </si>
  <si>
    <t>mooney_file</t>
  </si>
  <si>
    <t>target_clear_file</t>
  </si>
  <si>
    <t>cue_validity</t>
  </si>
  <si>
    <t>cue_object</t>
  </si>
  <si>
    <t>cue_label_ka</t>
  </si>
  <si>
    <t>cue_clear_file</t>
  </si>
  <si>
    <t>notes</t>
  </si>
  <si>
    <t>row_check</t>
  </si>
  <si>
    <t>TEST_01</t>
  </si>
  <si>
    <t>picture</t>
  </si>
  <si>
    <t>strawberry</t>
  </si>
  <si>
    <t>მარწყვი</t>
  </si>
  <si>
    <t>stimuli/strawberry_mooney.jpg</t>
  </si>
  <si>
    <t>stimuli/strawberry_clear.jpg</t>
  </si>
  <si>
    <t>correct</t>
  </si>
  <si>
    <t>Picture block: correct cue</t>
  </si>
  <si>
    <t>cup</t>
  </si>
  <si>
    <t>ჭიქა</t>
  </si>
  <si>
    <t>ჭიქა; ფინჯანი</t>
  </si>
  <si>
    <t>stimuli/cup_mooney.jpg</t>
  </si>
  <si>
    <t>stimuli/cup_clear.jpg</t>
  </si>
  <si>
    <t>incorrect</t>
  </si>
  <si>
    <t>dog</t>
  </si>
  <si>
    <t>ძაღლი</t>
  </si>
  <si>
    <t>stimuli/dog_clear.jpg</t>
  </si>
  <si>
    <t>Picture block: incorrect cue</t>
  </si>
  <si>
    <t>text</t>
  </si>
  <si>
    <t>jar</t>
  </si>
  <si>
    <t>ქილა</t>
  </si>
  <si>
    <t>stimuli/jar_mooney.jpg</t>
  </si>
  <si>
    <t>stimuli/jar_clear.jpg</t>
  </si>
  <si>
    <t>Text block: correct cue</t>
  </si>
  <si>
    <t>shoe</t>
  </si>
  <si>
    <t>ფეხსაცმელი</t>
  </si>
  <si>
    <t>ფეხსაცმელი; ბოტასი</t>
  </si>
  <si>
    <t>stimuli/shoe_mooney.jpg</t>
  </si>
  <si>
    <t>stimuli/shoe_clear.jpg</t>
  </si>
  <si>
    <t>apple</t>
  </si>
  <si>
    <t>ვაშლი</t>
  </si>
  <si>
    <t>Text block: incorrect cue</t>
  </si>
  <si>
    <t>TEST_02</t>
  </si>
  <si>
    <t>Reverse block order: text first</t>
  </si>
  <si>
    <t>stimuli/apple_clear.jpg</t>
  </si>
  <si>
    <t>Reverse block order: picture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</si>
</sst>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ont>
        <b/>
        <color rgb="FF9C0006"/>
      </font>
      <fill>
        <patternFill>
          <bgColor rgb="FFF4CCCC"/>
        </patternFill>
      </fill>
    </dxf>
    <dxf>
      <font>
        <b/>
        <color rgb="FF006100"/>
      </font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lankMatrixAssignmentsTable" displayName="BlankMatrixAssignmentsTable" ref="A1:N9">
  <tableColumns count="14">
    <tableColumn id="1" xr3:uid="{00000000-0010-0000-0000-000001000000}" name="design_id"/>
    <tableColumn id="2" xr3:uid="{00000000-0010-0000-0000-000002000000}" name="block_type"/>
    <tableColumn id="3" xr3:uid="{00000000-0010-0000-0000-000003000000}" name="block_order"/>
    <tableColumn id="4" xr3:uid="{00000000-0010-0000-0000-000004000000}" name="target_object"/>
    <tableColumn id="5" xr3:uid="{00000000-0010-0000-0000-000005000000}" name="target_label_ka"/>
    <tableColumn id="6" xr3:uid="{00000000-0010-0000-0000-000006000000}" name="accepted_labels_ka_optional"/>
    <tableColumn id="7" xr3:uid="{00000000-0010-0000-0000-000007000000}" name="mooney_file"/>
    <tableColumn id="8" xr3:uid="{00000000-0010-0000-0000-000008000000}" name="target_clear_file"/>
    <tableColumn id="9" xr3:uid="{00000000-0010-0000-0000-000009000000}" name="cue_validity"/>
    <tableColumn id="10" xr3:uid="{00000000-0010-0000-0000-00000A000000}" name="cue_object"/>
    <tableColumn id="11" xr3:uid="{00000000-0010-0000-0000-00000B000000}" name="cue_label_ka"/>
    <tableColumn id="12" xr3:uid="{00000000-0010-0000-0000-00000C000000}" name="cue_clear_file"/>
    <tableColumn id="13" xr3:uid="{00000000-0010-0000-0000-00000D000000}" name="notes"/>
    <tableColumn id="14" xr3:uid="{00000000-0010-0000-0000-00000E000000}" name="row_chec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="47" zoomScaleNormal="39" workbookViewId="0">
      <selection activeCell="H1" sqref="H1"/>
    </sheetView>
  </sheetViews>
  <sheetFormatPr defaultRowHeight="14.5"/>
  <cols>
    <col min="1" max="1" width="10.1796875" bestFit="1" customWidth="1"/>
    <col min="2" max="2" width="10.90625" bestFit="1" customWidth="1"/>
    <col min="3" max="3" width="11.7265625" bestFit="1" customWidth="1"/>
    <col min="4" max="4" width="13.26953125" bestFit="1" customWidth="1"/>
    <col min="5" max="5" width="15.54296875" bestFit="1" customWidth="1"/>
    <col min="6" max="6" width="28.54296875" customWidth="1"/>
    <col min="7" max="7" width="24.90625" bestFit="1" customWidth="1"/>
    <col min="8" max="8" width="26.36328125" bestFit="1" customWidth="1"/>
    <col min="9" max="9" width="12.26953125" bestFit="1" customWidth="1"/>
    <col min="10" max="10" width="11.26953125" bestFit="1" customWidth="1"/>
    <col min="11" max="11" width="13.453125" bestFit="1" customWidth="1"/>
    <col min="12" max="12" width="14.1796875" bestFit="1" customWidth="1"/>
    <col min="13" max="13" width="21.90625" bestFit="1" customWidth="1"/>
    <col min="14" max="14" width="10.542968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3.5">
      <c r="A2" s="2" t="s">
        <v>14</v>
      </c>
      <c r="B2" s="2" t="s">
        <v>15</v>
      </c>
      <c r="C2" s="2">
        <v>1</v>
      </c>
      <c r="D2" s="2" t="s">
        <v>16</v>
      </c>
      <c r="E2" s="2" t="s">
        <v>17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16</v>
      </c>
      <c r="K2" s="2" t="s">
        <v>17</v>
      </c>
      <c r="L2" s="2" t="s">
        <v>19</v>
      </c>
      <c r="M2" s="2" t="s">
        <v>21</v>
      </c>
      <c r="N2" s="2" t="str">
        <f t="shared" ref="N2:N9" si="0">IF(COUNTBLANK(A2:M2)=13,"",IF(OR(A2="",B2="",C2="",D2="",E2="",G2="",H2="",I2="",J2="",K2=""),"MISSING REQUIRED FIELD",IF(AND(B2="picture",L2=""),"MISSING CUE CLEAR FILE",IF(AND(I2="correct",D2&lt;&gt;J2),"ERROR: CORRECT CUE MUST MATCH TARGET",IF(AND(I2="incorrect",D2=J2),"ERROR: INCORRECT CUE MUST DIFFER","OK")))))</f>
        <v>OK</v>
      </c>
    </row>
    <row r="3" spans="1:14" ht="58">
      <c r="A3" s="2" t="s">
        <v>14</v>
      </c>
      <c r="B3" s="2" t="s">
        <v>15</v>
      </c>
      <c r="C3" s="2">
        <v>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tr">
        <f t="shared" si="0"/>
        <v>OK</v>
      </c>
    </row>
    <row r="4" spans="1:14" ht="29">
      <c r="A4" s="2" t="s">
        <v>14</v>
      </c>
      <c r="B4" s="2" t="s">
        <v>32</v>
      </c>
      <c r="C4" s="2">
        <v>2</v>
      </c>
      <c r="D4" s="2" t="s">
        <v>33</v>
      </c>
      <c r="E4" s="2" t="s">
        <v>34</v>
      </c>
      <c r="F4" s="2" t="s">
        <v>34</v>
      </c>
      <c r="G4" s="2" t="s">
        <v>35</v>
      </c>
      <c r="H4" s="2" t="s">
        <v>36</v>
      </c>
      <c r="I4" s="2" t="s">
        <v>20</v>
      </c>
      <c r="J4" s="2" t="s">
        <v>33</v>
      </c>
      <c r="K4" s="2" t="s">
        <v>34</v>
      </c>
      <c r="L4" s="2"/>
      <c r="M4" s="2" t="s">
        <v>37</v>
      </c>
      <c r="N4" s="2" t="str">
        <f t="shared" si="0"/>
        <v>OK</v>
      </c>
    </row>
    <row r="5" spans="1:14" ht="43.5">
      <c r="A5" s="2" t="s">
        <v>14</v>
      </c>
      <c r="B5" s="2" t="s">
        <v>32</v>
      </c>
      <c r="C5" s="2">
        <v>2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27</v>
      </c>
      <c r="J5" s="2" t="s">
        <v>43</v>
      </c>
      <c r="K5" s="2" t="s">
        <v>44</v>
      </c>
      <c r="L5" s="2"/>
      <c r="M5" s="2" t="s">
        <v>45</v>
      </c>
      <c r="N5" s="2" t="str">
        <f t="shared" si="0"/>
        <v>OK</v>
      </c>
    </row>
    <row r="6" spans="1:14" ht="43.5">
      <c r="A6" s="2" t="s">
        <v>46</v>
      </c>
      <c r="B6" s="2" t="s">
        <v>32</v>
      </c>
      <c r="C6" s="2">
        <v>1</v>
      </c>
      <c r="D6" s="2" t="s">
        <v>16</v>
      </c>
      <c r="E6" s="2" t="s">
        <v>17</v>
      </c>
      <c r="F6" s="2" t="s">
        <v>17</v>
      </c>
      <c r="G6" s="2" t="s">
        <v>18</v>
      </c>
      <c r="H6" s="2" t="s">
        <v>19</v>
      </c>
      <c r="I6" s="2" t="s">
        <v>27</v>
      </c>
      <c r="J6" s="2" t="s">
        <v>28</v>
      </c>
      <c r="K6" s="2" t="s">
        <v>29</v>
      </c>
      <c r="L6" s="2"/>
      <c r="M6" s="2" t="s">
        <v>47</v>
      </c>
      <c r="N6" s="2" t="str">
        <f t="shared" si="0"/>
        <v>OK</v>
      </c>
    </row>
    <row r="7" spans="1:14" ht="43.5">
      <c r="A7" s="2" t="s">
        <v>46</v>
      </c>
      <c r="B7" s="2" t="s">
        <v>32</v>
      </c>
      <c r="C7" s="2">
        <v>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20</v>
      </c>
      <c r="J7" s="2" t="s">
        <v>22</v>
      </c>
      <c r="K7" s="2" t="s">
        <v>23</v>
      </c>
      <c r="L7" s="2"/>
      <c r="M7" s="2" t="s">
        <v>47</v>
      </c>
      <c r="N7" s="2" t="str">
        <f t="shared" si="0"/>
        <v>OK</v>
      </c>
    </row>
    <row r="8" spans="1:14" ht="58">
      <c r="A8" s="2" t="s">
        <v>46</v>
      </c>
      <c r="B8" s="2" t="s">
        <v>15</v>
      </c>
      <c r="C8" s="2">
        <v>2</v>
      </c>
      <c r="D8" s="2" t="s">
        <v>33</v>
      </c>
      <c r="E8" s="2" t="s">
        <v>34</v>
      </c>
      <c r="F8" s="2" t="s">
        <v>34</v>
      </c>
      <c r="G8" s="2" t="s">
        <v>35</v>
      </c>
      <c r="H8" s="2" t="s">
        <v>36</v>
      </c>
      <c r="I8" s="2" t="s">
        <v>27</v>
      </c>
      <c r="J8" s="2" t="s">
        <v>43</v>
      </c>
      <c r="K8" s="2" t="s">
        <v>44</v>
      </c>
      <c r="L8" s="2" t="s">
        <v>48</v>
      </c>
      <c r="M8" s="2" t="s">
        <v>49</v>
      </c>
      <c r="N8" s="2" t="str">
        <f t="shared" si="0"/>
        <v>OK</v>
      </c>
    </row>
    <row r="9" spans="1:14" ht="58">
      <c r="A9" s="2" t="s">
        <v>46</v>
      </c>
      <c r="B9" s="2" t="s">
        <v>15</v>
      </c>
      <c r="C9" s="2">
        <v>2</v>
      </c>
      <c r="D9" s="2" t="s">
        <v>38</v>
      </c>
      <c r="E9" s="2" t="s">
        <v>39</v>
      </c>
      <c r="F9" s="2" t="s">
        <v>40</v>
      </c>
      <c r="G9" s="2" t="s">
        <v>41</v>
      </c>
      <c r="H9" s="2" t="s">
        <v>42</v>
      </c>
      <c r="I9" s="2" t="s">
        <v>20</v>
      </c>
      <c r="J9" s="2" t="s">
        <v>38</v>
      </c>
      <c r="K9" s="2" t="s">
        <v>39</v>
      </c>
      <c r="L9" s="2" t="s">
        <v>42</v>
      </c>
      <c r="M9" s="2" t="s">
        <v>49</v>
      </c>
      <c r="N9" s="2" t="str">
        <f t="shared" si="0"/>
        <v>OK</v>
      </c>
    </row>
  </sheetData>
  <conditionalFormatting sqref="N2:N9">
    <cfRule type="expression" dxfId="1" priority="1">
      <formula>N2="OK"</formula>
    </cfRule>
    <cfRule type="expression" dxfId="0" priority="2">
      <formula>AND(N2&lt;&gt;"",N2&lt;&gt;"OK")</formula>
    </cfRule>
  </conditionalFormatting>
  <dataValidations count="3">
    <dataValidation type="list" sqref="I2:I9" xr:uid="{00000000-0002-0000-0000-000000000000}">
      <formula1>"correct,incorrect"</formula1>
    </dataValidation>
    <dataValidation type="list" sqref="C2:C9" xr:uid="{00000000-0002-0000-0000-000001000000}">
      <formula1>"1,2"</formula1>
    </dataValidation>
    <dataValidation type="list" sqref="B2:B9" xr:uid="{00000000-0002-0000-0000-000002000000}">
      <formula1>"picture,text"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2026-07-12T12:40:10Z</dcterms:modified>
</cp:coreProperties>
</file>